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kajy\Documents\GitHub\dolibarr\"/>
    </mc:Choice>
  </mc:AlternateContent>
  <xr:revisionPtr revIDLastSave="0" documentId="13_ncr:1_{044CE6E4-D482-45A4-95CF-BAEB14891B90}" xr6:coauthVersionLast="47" xr6:coauthVersionMax="47" xr10:uidLastSave="{00000000-0000-0000-0000-000000000000}"/>
  <bookViews>
    <workbookView xWindow="1425" yWindow="1425" windowWidth="21600" windowHeight="11295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9" i="2" l="1"/>
  <c r="K49" i="2" s="1"/>
  <c r="I50" i="2"/>
  <c r="J50" i="2"/>
  <c r="K50" i="2"/>
  <c r="I51" i="2"/>
  <c r="K51" i="2" s="1"/>
  <c r="I52" i="2"/>
  <c r="J52" i="2" s="1"/>
  <c r="I53" i="2"/>
  <c r="K53" i="2"/>
  <c r="I54" i="2"/>
  <c r="J54" i="2"/>
  <c r="K54" i="2"/>
  <c r="I55" i="2"/>
  <c r="K55" i="2" s="1"/>
  <c r="I56" i="2"/>
  <c r="K56" i="2" s="1"/>
  <c r="J56" i="2"/>
  <c r="I57" i="2"/>
  <c r="K57" i="2" s="1"/>
  <c r="I58" i="2"/>
  <c r="J58" i="2"/>
  <c r="K58" i="2"/>
  <c r="I59" i="2"/>
  <c r="K59" i="2" s="1"/>
  <c r="I60" i="2"/>
  <c r="J60" i="2"/>
  <c r="K60" i="2"/>
  <c r="I11" i="2"/>
  <c r="K11" i="2" s="1"/>
  <c r="I12" i="2"/>
  <c r="J12" i="2"/>
  <c r="K12" i="2" s="1"/>
  <c r="I13" i="2"/>
  <c r="K13" i="2" s="1"/>
  <c r="I14" i="2"/>
  <c r="J14" i="2" s="1"/>
  <c r="K14" i="2" s="1"/>
  <c r="I15" i="2"/>
  <c r="K15" i="2"/>
  <c r="I16" i="2"/>
  <c r="J16" i="2"/>
  <c r="K16" i="2"/>
  <c r="I17" i="2"/>
  <c r="K17" i="2" s="1"/>
  <c r="I18" i="2"/>
  <c r="J18" i="2"/>
  <c r="K18" i="2"/>
  <c r="I19" i="2"/>
  <c r="K19" i="2" s="1"/>
  <c r="I20" i="2"/>
  <c r="J20" i="2"/>
  <c r="K20" i="2"/>
  <c r="I21" i="2"/>
  <c r="K21" i="2"/>
  <c r="I22" i="2"/>
  <c r="J22" i="2"/>
  <c r="K22" i="2"/>
  <c r="I23" i="2"/>
  <c r="K23" i="2"/>
  <c r="I24" i="2"/>
  <c r="J24" i="2" s="1"/>
  <c r="I25" i="2"/>
  <c r="K25" i="2"/>
  <c r="I26" i="2"/>
  <c r="J26" i="2" s="1"/>
  <c r="K26" i="2" s="1"/>
  <c r="I27" i="2"/>
  <c r="K27" i="2" s="1"/>
  <c r="I28" i="2"/>
  <c r="J28" i="2"/>
  <c r="K28" i="2"/>
  <c r="I29" i="2"/>
  <c r="K29" i="2"/>
  <c r="I30" i="2"/>
  <c r="J30" i="2" s="1"/>
  <c r="I31" i="2"/>
  <c r="K31" i="2"/>
  <c r="I32" i="2"/>
  <c r="J32" i="2"/>
  <c r="K32" i="2" s="1"/>
  <c r="I33" i="2"/>
  <c r="K33" i="2" s="1"/>
  <c r="I34" i="2"/>
  <c r="J34" i="2"/>
  <c r="K34" i="2"/>
  <c r="I35" i="2"/>
  <c r="K35" i="2"/>
  <c r="I36" i="2"/>
  <c r="I37" i="2"/>
  <c r="K37" i="2"/>
  <c r="I38" i="2"/>
  <c r="J38" i="2" s="1"/>
  <c r="I39" i="2"/>
  <c r="K39" i="2"/>
  <c r="I40" i="2"/>
  <c r="K40" i="2" s="1"/>
  <c r="J40" i="2"/>
  <c r="I41" i="2"/>
  <c r="K41" i="2"/>
  <c r="I42" i="2"/>
  <c r="J42" i="2" s="1"/>
  <c r="I43" i="2"/>
  <c r="K43" i="2" s="1"/>
  <c r="I44" i="2"/>
  <c r="J44" i="2" s="1"/>
  <c r="K44" i="2" s="1"/>
  <c r="I45" i="2"/>
  <c r="K45" i="2" s="1"/>
  <c r="I46" i="2"/>
  <c r="J46" i="2"/>
  <c r="K46" i="2"/>
  <c r="I47" i="2"/>
  <c r="K47" i="2" s="1"/>
  <c r="I48" i="2"/>
  <c r="J48" i="2" s="1"/>
  <c r="B10" i="5"/>
  <c r="B9" i="5"/>
  <c r="B8" i="5"/>
  <c r="B7" i="5"/>
  <c r="B6" i="5"/>
  <c r="B5" i="5"/>
  <c r="B4" i="5"/>
  <c r="B3" i="5"/>
  <c r="B2" i="5"/>
  <c r="A2" i="4"/>
  <c r="I10" i="2"/>
  <c r="I9" i="2"/>
  <c r="K9" i="2" s="1"/>
  <c r="I8" i="2"/>
  <c r="K8" i="2" s="1"/>
  <c r="I7" i="2"/>
  <c r="I6" i="2"/>
  <c r="I5" i="2"/>
  <c r="I4" i="2"/>
  <c r="I3" i="2"/>
  <c r="I2" i="2"/>
  <c r="K42" i="2" l="1"/>
  <c r="K52" i="2"/>
  <c r="K48" i="2"/>
  <c r="K38" i="2"/>
  <c r="B2" i="4"/>
  <c r="J36" i="2"/>
  <c r="K36" i="2" s="1"/>
  <c r="K24" i="2"/>
  <c r="K30" i="2"/>
  <c r="J6" i="2"/>
  <c r="K6" i="2" s="1"/>
  <c r="J5" i="2"/>
  <c r="K5" i="2" s="1"/>
  <c r="J7" i="2"/>
  <c r="K7" i="2" s="1"/>
  <c r="J2" i="2"/>
  <c r="J3" i="2"/>
  <c r="K3" i="2" s="1"/>
  <c r="J4" i="2"/>
  <c r="K4" i="2" s="1"/>
  <c r="J10" i="2"/>
  <c r="K10" i="2" s="1"/>
  <c r="C2" i="4" l="1"/>
  <c r="C3" i="4" s="1"/>
  <c r="K2" i="2"/>
  <c r="E2" i="4" l="1"/>
  <c r="D2" i="4"/>
  <c r="B12" i="3" s="1"/>
</calcChain>
</file>

<file path=xl/sharedStrings.xml><?xml version="1.0" encoding="utf-8"?>
<sst xmlns="http://schemas.openxmlformats.org/spreadsheetml/2006/main" count="386" uniqueCount="111">
  <si>
    <t>ETU00XXXX</t>
  </si>
  <si>
    <t>A</t>
  </si>
  <si>
    <t>ETU00YYYY</t>
  </si>
  <si>
    <t>ETU00ZZZZ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</si>
  <si>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</si>
  <si>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</si>
  <si>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</si>
  <si>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</si>
  <si>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</si>
  <si>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</si>
  <si>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</si>
  <si>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</si>
  <si>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</si>
  <si>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</si>
  <si>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</si>
  <si>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</si>
  <si>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</si>
  <si>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Index</t>
  </si>
  <si>
    <t>Affichage</t>
  </si>
  <si>
    <t>Metier</t>
  </si>
  <si>
    <t>Integration</t>
  </si>
  <si>
    <t>Categorie</t>
  </si>
  <si>
    <t>Base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</si>
  <si>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</si>
  <si>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</si>
  <si>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</si>
  <si>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</si>
  <si>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</si>
  <si>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</si>
  <si>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</si>
  <si>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</si>
  <si>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</si>
  <si>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</si>
  <si>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</si>
  <si>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</si>
  <si>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(vide)</t>
  </si>
  <si>
    <t>ETU003214</t>
  </si>
  <si>
    <t>Environnement</t>
  </si>
  <si>
    <t>Dolibarr</t>
  </si>
  <si>
    <t>Installation en local</t>
  </si>
  <si>
    <t>Activation API</t>
  </si>
  <si>
    <t>Activation module</t>
  </si>
  <si>
    <t>Configuration</t>
  </si>
  <si>
    <t>Configuration API, cle API</t>
  </si>
  <si>
    <t>Configuration proxy</t>
  </si>
  <si>
    <t>Authentification</t>
  </si>
  <si>
    <t>BackofficeLogin</t>
  </si>
  <si>
    <t>Créer login, logout, isAuthenticated</t>
  </si>
  <si>
    <t>Protection de route</t>
  </si>
  <si>
    <t>Test</t>
  </si>
  <si>
    <t>Import</t>
  </si>
  <si>
    <t>ImportPage</t>
  </si>
  <si>
    <t>Créer l'interface</t>
  </si>
  <si>
    <t>Lire csv et parse</t>
  </si>
  <si>
    <t>Import employe</t>
  </si>
  <si>
    <t>Import salaire et payement</t>
  </si>
  <si>
    <t>Lire ZIP images</t>
  </si>
  <si>
    <t>Verification et validation, gestion erreurs</t>
  </si>
  <si>
    <t>Creer page</t>
  </si>
  <si>
    <t>Créer ou maj utilisateurs</t>
  </si>
  <si>
    <t>Upload images</t>
  </si>
  <si>
    <t>Créer salaire dans le modules</t>
  </si>
  <si>
    <t>Créer paiement dans dolibarr</t>
  </si>
  <si>
    <t>Affichager resume(success, salaire)</t>
  </si>
  <si>
    <t>Test complet</t>
  </si>
  <si>
    <t>Charger les salaires</t>
  </si>
  <si>
    <t>DashboardPage</t>
  </si>
  <si>
    <t>Dashboard</t>
  </si>
  <si>
    <t>Cacul par genre</t>
  </si>
  <si>
    <t>Cacul par mois</t>
  </si>
  <si>
    <t>Affichage tableau</t>
  </si>
  <si>
    <t>Reinitialisation</t>
  </si>
  <si>
    <t>ResetPage</t>
  </si>
  <si>
    <t>Créer page</t>
  </si>
  <si>
    <t>Supprimer paiements,salaire, photo, utilisateiurs</t>
  </si>
  <si>
    <t>Reinitialisation sqlite</t>
  </si>
  <si>
    <t>Test reset</t>
  </si>
  <si>
    <t>Jours Feries</t>
  </si>
  <si>
    <t>JoursFeriePage</t>
  </si>
  <si>
    <t xml:space="preserve">Créer table </t>
  </si>
  <si>
    <t>Execution automatique</t>
  </si>
  <si>
    <t>Créer getAll, getById, create,,,</t>
  </si>
  <si>
    <t>Créer routes</t>
  </si>
  <si>
    <t>Créer service</t>
  </si>
  <si>
    <t>Créer CRUD</t>
  </si>
  <si>
    <t xml:space="preserve">Gestion erreurs </t>
  </si>
  <si>
    <t>Test CRUD</t>
  </si>
  <si>
    <t>Frontoffice</t>
  </si>
  <si>
    <t>Gestion salaire</t>
  </si>
  <si>
    <t>SalarieListPage</t>
  </si>
  <si>
    <t>Créer liste sans filtre</t>
  </si>
  <si>
    <t>Ajout lien details</t>
  </si>
  <si>
    <t>Charger information</t>
  </si>
  <si>
    <t>EmployeeDetailPage</t>
  </si>
  <si>
    <t>Afficher historique salaire et paiements</t>
  </si>
  <si>
    <t>Calcul total et reste a payer</t>
  </si>
  <si>
    <t>Afficher tableau</t>
  </si>
  <si>
    <t>Verification paiemetn</t>
  </si>
  <si>
    <t>CreateSalaryPaymentPage</t>
  </si>
  <si>
    <t>Ajout et suppression paiement</t>
  </si>
  <si>
    <t>Validation et calcul</t>
  </si>
  <si>
    <t>Maj status</t>
  </si>
  <si>
    <t>Test paiement</t>
  </si>
  <si>
    <t>BulkSalaryGeneration</t>
  </si>
  <si>
    <t>Créer filtre</t>
  </si>
  <si>
    <t>Afficher liste des employes</t>
  </si>
  <si>
    <t>Validation date debut, fin et montant</t>
  </si>
  <si>
    <t>Créer salaire par employee</t>
  </si>
  <si>
    <t>Afficher salaire créer et erreurs</t>
  </si>
  <si>
    <t>Verification anti doublon</t>
  </si>
  <si>
    <t>Test et verification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</si>
</sst>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4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6" fillId="0" borderId="1" xfId="0" applyFont="1" applyBorder="1" applyAlignment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8" fillId="3" borderId="0" xfId="0" applyFont="1" applyFill="1" applyAlignment="1"/>
    <xf numFmtId="10" fontId="8" fillId="3" borderId="0" xfId="0" applyNumberFormat="1" applyFont="1" applyFill="1"/>
    <xf numFmtId="0" fontId="9" fillId="4" borderId="2" xfId="0" applyFont="1" applyFill="1" applyBorder="1" applyAlignment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 applyAlignment="1"/>
    <xf numFmtId="0" fontId="11" fillId="4" borderId="0" xfId="0" applyFont="1" applyFill="1" applyAlignment="1"/>
    <xf numFmtId="0" fontId="11" fillId="0" borderId="0" xfId="0" applyFont="1" applyAlignme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 applyAlignment="1"/>
    <xf numFmtId="0" fontId="7" fillId="0" borderId="0" xfId="0" applyFont="1" applyAlignment="1"/>
    <xf numFmtId="0" fontId="0" fillId="0" borderId="3" xfId="0" applyFont="1" applyBorder="1" applyAlignment="1"/>
    <xf numFmtId="0" fontId="0" fillId="0" borderId="3" xfId="0" pivotButton="1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3" xfId="0" applyNumberFormat="1" applyFont="1" applyBorder="1" applyAlignment="1"/>
    <xf numFmtId="0" fontId="0" fillId="0" borderId="6" xfId="0" applyNumberFormat="1" applyFont="1" applyBorder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2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Font="1" applyBorder="1" applyAlignment="1"/>
    <xf numFmtId="0" fontId="0" fillId="0" borderId="10" xfId="0" applyNumberFormat="1" applyFont="1" applyBorder="1" applyAlignment="1"/>
    <xf numFmtId="0" fontId="0" fillId="0" borderId="11" xfId="0" applyNumberFormat="1" applyFont="1" applyBorder="1" applyAlignment="1"/>
    <xf numFmtId="0" fontId="0" fillId="0" borderId="12" xfId="0" applyNumberFormat="1" applyFont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kajy" refreshedDate="46209.328442129627" refreshedVersion="7" recordCount="20" xr:uid="{00000000-000A-0000-FFFF-FFFF00000000}">
  <cacheSource type="worksheet">
    <worksheetSource ref="B1:K99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90"/>
    </cacheField>
    <cacheField name="Reste à faire" numFmtId="0">
      <sharedItems containsString="0" containsBlank="1" containsNumber="1" containsInteger="1" minValue="0" maxValue="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Backoffice"/>
    <s v="Gestion Login"/>
    <s v="Index"/>
    <s v="Création html"/>
    <s v="Affichage"/>
    <x v="0"/>
    <n v="30"/>
    <n v="20"/>
    <n v="10"/>
    <n v="0.66666666666666663"/>
  </r>
  <r>
    <s v="Backoffice"/>
    <s v="Gestion Login"/>
    <s v="Index"/>
    <s v="Design css"/>
    <s v="Metier"/>
    <x v="1"/>
    <n v="20"/>
    <n v="0"/>
    <n v="20"/>
    <n v="0"/>
  </r>
  <r>
    <s v="Backoffice"/>
    <s v="Gestion Login"/>
    <s v="Index"/>
    <s v="checkLogin"/>
    <s v="Integration"/>
    <x v="1"/>
    <n v="30"/>
    <n v="10"/>
    <n v="20"/>
    <n v="0.33333333333333331"/>
  </r>
  <r>
    <s v="Backoffice"/>
    <s v="Gestion Categorie"/>
    <s v="Categorie"/>
    <s v="table login"/>
    <s v="Affichage"/>
    <x v="2"/>
    <n v="10"/>
    <n v="0"/>
    <n v="10"/>
    <n v="0"/>
  </r>
  <r>
    <s v="Backoffice"/>
    <s v="Gestion Categorie"/>
    <s v="Categorie"/>
    <s v="données test"/>
    <s v="Metier"/>
    <x v="2"/>
    <n v="50"/>
    <n v="10"/>
    <n v="40"/>
    <n v="0.2"/>
  </r>
  <r>
    <s v="Backoffice"/>
    <s v="Gestion Categorie"/>
    <s v="Categorie"/>
    <s v="Liste"/>
    <s v="Integration"/>
    <x v="3"/>
    <n v="25"/>
    <n v="0"/>
    <n v="25"/>
    <n v="0"/>
  </r>
  <r>
    <s v="Backoffice"/>
    <s v="Gestion Categorie"/>
    <s v="Categorie-add"/>
    <s v="Ajout"/>
    <s v="Affichage"/>
    <x v="0"/>
    <n v="10"/>
    <n v="90"/>
    <n v="0"/>
    <n v="1"/>
  </r>
  <r>
    <s v="Backoffice"/>
    <s v="Gestion Categorie"/>
    <s v="Categorie-add"/>
    <s v="Ajout"/>
    <s v="Metier"/>
    <x v="3"/>
    <n v="5"/>
    <n v="30"/>
    <n v="0"/>
    <n v="1"/>
  </r>
  <r>
    <s v="Backoffice"/>
    <s v="Gestion Categorie"/>
    <s v="Categorie-add"/>
    <s v="Ajout"/>
    <s v="Base"/>
    <x v="3"/>
    <n v="5"/>
    <n v="0"/>
    <n v="5"/>
    <n v="0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3" applyNumberFormats="0" applyBorderFormats="0" applyFontFormats="0" applyPatternFormats="0" applyAlignmentFormats="0" applyWidthHeightFormats="0" dataCaption="" updatedVersion="7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3"/>
        <item x="1"/>
        <item x="0"/>
        <item x="2"/>
        <item x="4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baseColWidth="10" defaultColWidth="12.5703125" defaultRowHeight="15.75" customHeight="1"/>
  <sheetData>
    <row r="1" spans="1:2">
      <c r="A1" s="1" t="s">
        <v>36</v>
      </c>
      <c r="B1" s="1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7"/>
  <sheetViews>
    <sheetView tabSelected="1" workbookViewId="0">
      <selection activeCell="G23" sqref="G23"/>
    </sheetView>
  </sheetViews>
  <sheetFormatPr baseColWidth="10" defaultColWidth="12.5703125" defaultRowHeight="15.75" customHeight="1"/>
  <cols>
    <col min="1" max="1" width="5.85546875" customWidth="1"/>
    <col min="2" max="2" width="19" customWidth="1"/>
    <col min="3" max="3" width="18" customWidth="1"/>
    <col min="5" max="5" width="16.42578125" customWidth="1"/>
  </cols>
  <sheetData>
    <row r="1" spans="1:11" ht="15.75" customHeight="1">
      <c r="A1" s="2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</row>
    <row r="2" spans="1:11" ht="12.75">
      <c r="A2" s="5">
        <v>1</v>
      </c>
      <c r="B2" s="5" t="s">
        <v>37</v>
      </c>
      <c r="C2" s="42" t="s">
        <v>38</v>
      </c>
      <c r="D2" s="6" t="s">
        <v>17</v>
      </c>
      <c r="E2" s="7" t="s">
        <v>39</v>
      </c>
      <c r="F2" s="8" t="s">
        <v>20</v>
      </c>
      <c r="G2" s="42" t="s">
        <v>36</v>
      </c>
      <c r="H2" s="6">
        <v>30</v>
      </c>
      <c r="I2" s="9">
        <f>detail_avancement!B2</f>
        <v>20</v>
      </c>
      <c r="J2" s="9">
        <f t="shared" ref="J2:J7" si="0">H2-I2</f>
        <v>10</v>
      </c>
      <c r="K2" s="10">
        <f t="shared" ref="K2:K10" si="1">(I2/(I2+J2))</f>
        <v>0.66666666666666663</v>
      </c>
    </row>
    <row r="3" spans="1:11" ht="12.75">
      <c r="A3" s="5">
        <v>2</v>
      </c>
      <c r="B3" s="5" t="s">
        <v>37</v>
      </c>
      <c r="C3" s="8" t="s">
        <v>38</v>
      </c>
      <c r="D3" s="6" t="s">
        <v>17</v>
      </c>
      <c r="E3" s="7" t="s">
        <v>40</v>
      </c>
      <c r="F3" s="8" t="s">
        <v>20</v>
      </c>
      <c r="G3" s="42" t="s">
        <v>36</v>
      </c>
      <c r="H3" s="6">
        <v>20</v>
      </c>
      <c r="I3" s="9">
        <f>detail_avancement!B3</f>
        <v>0</v>
      </c>
      <c r="J3" s="9">
        <f t="shared" si="0"/>
        <v>20</v>
      </c>
      <c r="K3" s="10">
        <f t="shared" si="1"/>
        <v>0</v>
      </c>
    </row>
    <row r="4" spans="1:11" ht="12.75">
      <c r="A4" s="5">
        <v>3</v>
      </c>
      <c r="B4" s="5" t="s">
        <v>37</v>
      </c>
      <c r="C4" s="8" t="s">
        <v>38</v>
      </c>
      <c r="D4" s="6" t="s">
        <v>17</v>
      </c>
      <c r="E4" s="7" t="s">
        <v>41</v>
      </c>
      <c r="F4" s="8" t="s">
        <v>19</v>
      </c>
      <c r="G4" s="42" t="s">
        <v>36</v>
      </c>
      <c r="H4" s="6">
        <v>30</v>
      </c>
      <c r="I4" s="9">
        <f>detail_avancement!B4</f>
        <v>10</v>
      </c>
      <c r="J4" s="9">
        <f t="shared" si="0"/>
        <v>20</v>
      </c>
      <c r="K4" s="10">
        <f t="shared" si="1"/>
        <v>0.33333333333333331</v>
      </c>
    </row>
    <row r="5" spans="1:11" ht="12.75">
      <c r="A5" s="5">
        <v>4</v>
      </c>
      <c r="B5" s="5" t="s">
        <v>37</v>
      </c>
      <c r="C5" s="8" t="s">
        <v>42</v>
      </c>
      <c r="D5" s="6" t="s">
        <v>21</v>
      </c>
      <c r="E5" s="7" t="s">
        <v>43</v>
      </c>
      <c r="F5" s="8" t="s">
        <v>20</v>
      </c>
      <c r="G5" s="42" t="s">
        <v>36</v>
      </c>
      <c r="H5" s="6">
        <v>10</v>
      </c>
      <c r="I5" s="9">
        <f>detail_avancement!B5</f>
        <v>0</v>
      </c>
      <c r="J5" s="9">
        <f t="shared" si="0"/>
        <v>10</v>
      </c>
      <c r="K5" s="10">
        <f t="shared" si="1"/>
        <v>0</v>
      </c>
    </row>
    <row r="6" spans="1:11" ht="12.75">
      <c r="A6" s="5">
        <v>5</v>
      </c>
      <c r="B6" s="5" t="s">
        <v>37</v>
      </c>
      <c r="C6" s="8" t="s">
        <v>42</v>
      </c>
      <c r="D6" s="6" t="s">
        <v>21</v>
      </c>
      <c r="E6" s="7" t="s">
        <v>44</v>
      </c>
      <c r="F6" s="8" t="s">
        <v>20</v>
      </c>
      <c r="G6" s="42" t="s">
        <v>36</v>
      </c>
      <c r="H6" s="6">
        <v>50</v>
      </c>
      <c r="I6" s="9">
        <f>detail_avancement!B6</f>
        <v>10</v>
      </c>
      <c r="J6" s="9">
        <f t="shared" si="0"/>
        <v>40</v>
      </c>
      <c r="K6" s="10">
        <f t="shared" si="1"/>
        <v>0.2</v>
      </c>
    </row>
    <row r="7" spans="1:11" ht="12.75">
      <c r="A7" s="5">
        <v>6</v>
      </c>
      <c r="B7" s="5" t="s">
        <v>16</v>
      </c>
      <c r="C7" s="8" t="s">
        <v>45</v>
      </c>
      <c r="D7" s="42" t="s">
        <v>46</v>
      </c>
      <c r="E7" s="8" t="s">
        <v>58</v>
      </c>
      <c r="F7" s="8" t="s">
        <v>18</v>
      </c>
      <c r="G7" s="42" t="s">
        <v>36</v>
      </c>
      <c r="H7" s="6">
        <v>25</v>
      </c>
      <c r="I7" s="9">
        <f>detail_avancement!B7</f>
        <v>0</v>
      </c>
      <c r="J7" s="9">
        <f t="shared" si="0"/>
        <v>25</v>
      </c>
      <c r="K7" s="10">
        <f t="shared" si="1"/>
        <v>0</v>
      </c>
    </row>
    <row r="8" spans="1:11" ht="12.75">
      <c r="A8" s="5">
        <v>7</v>
      </c>
      <c r="B8" s="5" t="s">
        <v>16</v>
      </c>
      <c r="C8" s="8" t="s">
        <v>45</v>
      </c>
      <c r="D8" s="42" t="s">
        <v>46</v>
      </c>
      <c r="E8" s="8" t="s">
        <v>47</v>
      </c>
      <c r="F8" s="8" t="s">
        <v>19</v>
      </c>
      <c r="G8" s="42" t="s">
        <v>36</v>
      </c>
      <c r="H8" s="6">
        <v>10</v>
      </c>
      <c r="I8" s="9">
        <f>detail_avancement!B8</f>
        <v>90</v>
      </c>
      <c r="J8" s="11">
        <v>0</v>
      </c>
      <c r="K8" s="10">
        <f t="shared" si="1"/>
        <v>1</v>
      </c>
    </row>
    <row r="9" spans="1:11" ht="12.75">
      <c r="A9" s="5">
        <v>8</v>
      </c>
      <c r="B9" s="5" t="s">
        <v>16</v>
      </c>
      <c r="C9" s="8" t="s">
        <v>45</v>
      </c>
      <c r="D9" s="42" t="s">
        <v>46</v>
      </c>
      <c r="E9" s="8" t="s">
        <v>48</v>
      </c>
      <c r="F9" s="8" t="s">
        <v>20</v>
      </c>
      <c r="G9" s="42" t="s">
        <v>36</v>
      </c>
      <c r="H9" s="6">
        <v>5</v>
      </c>
      <c r="I9" s="9">
        <f>detail_avancement!B9</f>
        <v>30</v>
      </c>
      <c r="J9" s="11">
        <v>0</v>
      </c>
      <c r="K9" s="10">
        <f t="shared" si="1"/>
        <v>1</v>
      </c>
    </row>
    <row r="10" spans="1:11" ht="12.75">
      <c r="A10" s="5">
        <v>9</v>
      </c>
      <c r="B10" s="5" t="s">
        <v>16</v>
      </c>
      <c r="C10" s="8" t="s">
        <v>45</v>
      </c>
      <c r="D10" s="42" t="s">
        <v>46</v>
      </c>
      <c r="E10" s="8" t="s">
        <v>49</v>
      </c>
      <c r="F10" s="42" t="s">
        <v>49</v>
      </c>
      <c r="G10" s="42" t="s">
        <v>36</v>
      </c>
      <c r="H10" s="6">
        <v>5</v>
      </c>
      <c r="I10" s="9">
        <f>detail_avancement!B10</f>
        <v>0</v>
      </c>
      <c r="J10" s="9">
        <f>H10-I10</f>
        <v>5</v>
      </c>
      <c r="K10" s="10">
        <f t="shared" si="1"/>
        <v>0</v>
      </c>
    </row>
    <row r="11" spans="1:11" ht="12.75">
      <c r="A11" s="5">
        <v>10</v>
      </c>
      <c r="B11" s="5" t="s">
        <v>16</v>
      </c>
      <c r="C11" s="8" t="s">
        <v>50</v>
      </c>
      <c r="D11" s="42" t="s">
        <v>51</v>
      </c>
      <c r="E11" s="8" t="s">
        <v>52</v>
      </c>
      <c r="F11" s="8" t="s">
        <v>18</v>
      </c>
      <c r="G11" s="42" t="s">
        <v>36</v>
      </c>
      <c r="H11" s="6">
        <v>5</v>
      </c>
      <c r="I11" s="11">
        <f>detail_avancement!B11</f>
        <v>0</v>
      </c>
      <c r="J11" s="11">
        <v>1</v>
      </c>
      <c r="K11" s="10">
        <f t="shared" ref="K11:K48" si="2">(I11/(I11+J11))</f>
        <v>0</v>
      </c>
    </row>
    <row r="12" spans="1:11" ht="12.75">
      <c r="A12" s="5">
        <v>11</v>
      </c>
      <c r="B12" s="5" t="s">
        <v>16</v>
      </c>
      <c r="C12" s="8" t="s">
        <v>50</v>
      </c>
      <c r="D12" s="42" t="s">
        <v>51</v>
      </c>
      <c r="E12" s="8" t="s">
        <v>53</v>
      </c>
      <c r="F12" s="42" t="s">
        <v>19</v>
      </c>
      <c r="G12" s="42" t="s">
        <v>36</v>
      </c>
      <c r="H12" s="6">
        <v>5</v>
      </c>
      <c r="I12" s="11">
        <f>detail_avancement!B12</f>
        <v>0</v>
      </c>
      <c r="J12" s="11">
        <f t="shared" ref="J12" si="3">H12-I12</f>
        <v>5</v>
      </c>
      <c r="K12" s="10">
        <f t="shared" si="2"/>
        <v>0</v>
      </c>
    </row>
    <row r="13" spans="1:11" ht="12.75">
      <c r="A13" s="5">
        <v>12</v>
      </c>
      <c r="B13" s="5" t="s">
        <v>16</v>
      </c>
      <c r="C13" s="8" t="s">
        <v>50</v>
      </c>
      <c r="D13" s="42" t="s">
        <v>51</v>
      </c>
      <c r="E13" s="8" t="s">
        <v>54</v>
      </c>
      <c r="F13" s="8" t="s">
        <v>19</v>
      </c>
      <c r="G13" s="42" t="s">
        <v>36</v>
      </c>
      <c r="H13" s="6">
        <v>5</v>
      </c>
      <c r="I13" s="11">
        <f>detail_avancement!B13</f>
        <v>0</v>
      </c>
      <c r="J13" s="11">
        <v>2</v>
      </c>
      <c r="K13" s="10">
        <f t="shared" si="2"/>
        <v>0</v>
      </c>
    </row>
    <row r="14" spans="1:11" ht="12.75">
      <c r="A14" s="5">
        <v>13</v>
      </c>
      <c r="B14" s="5" t="s">
        <v>16</v>
      </c>
      <c r="C14" s="8" t="s">
        <v>50</v>
      </c>
      <c r="D14" s="42" t="s">
        <v>51</v>
      </c>
      <c r="E14" s="8" t="s">
        <v>55</v>
      </c>
      <c r="F14" s="42" t="s">
        <v>19</v>
      </c>
      <c r="G14" s="42" t="s">
        <v>36</v>
      </c>
      <c r="H14" s="6">
        <v>5</v>
      </c>
      <c r="I14" s="11">
        <f>detail_avancement!B14</f>
        <v>0</v>
      </c>
      <c r="J14" s="11">
        <f t="shared" ref="J14" si="4">H14-I14</f>
        <v>5</v>
      </c>
      <c r="K14" s="10">
        <f t="shared" si="2"/>
        <v>0</v>
      </c>
    </row>
    <row r="15" spans="1:11" ht="12.75">
      <c r="A15" s="5">
        <v>14</v>
      </c>
      <c r="B15" s="5" t="s">
        <v>16</v>
      </c>
      <c r="C15" s="8" t="s">
        <v>50</v>
      </c>
      <c r="D15" s="42" t="s">
        <v>51</v>
      </c>
      <c r="E15" s="8" t="s">
        <v>56</v>
      </c>
      <c r="F15" s="8" t="s">
        <v>19</v>
      </c>
      <c r="G15" s="42" t="s">
        <v>36</v>
      </c>
      <c r="H15" s="6">
        <v>5</v>
      </c>
      <c r="I15" s="11">
        <f>detail_avancement!B15</f>
        <v>0</v>
      </c>
      <c r="J15" s="11">
        <v>3</v>
      </c>
      <c r="K15" s="10">
        <f t="shared" si="2"/>
        <v>0</v>
      </c>
    </row>
    <row r="16" spans="1:11" ht="12.75">
      <c r="A16" s="5">
        <v>15</v>
      </c>
      <c r="B16" s="5" t="s">
        <v>16</v>
      </c>
      <c r="C16" s="8" t="s">
        <v>50</v>
      </c>
      <c r="D16" s="42" t="s">
        <v>51</v>
      </c>
      <c r="E16" s="8" t="s">
        <v>57</v>
      </c>
      <c r="F16" s="42" t="s">
        <v>19</v>
      </c>
      <c r="G16" s="42" t="s">
        <v>36</v>
      </c>
      <c r="H16" s="6">
        <v>5</v>
      </c>
      <c r="I16" s="11">
        <f>detail_avancement!B16</f>
        <v>0</v>
      </c>
      <c r="J16" s="11">
        <f t="shared" ref="J16" si="5">H16-I16</f>
        <v>5</v>
      </c>
      <c r="K16" s="10">
        <f t="shared" si="2"/>
        <v>0</v>
      </c>
    </row>
    <row r="17" spans="1:11" ht="12.75">
      <c r="A17" s="5">
        <v>16</v>
      </c>
      <c r="B17" s="5" t="s">
        <v>16</v>
      </c>
      <c r="C17" s="8" t="s">
        <v>50</v>
      </c>
      <c r="D17" s="42" t="s">
        <v>51</v>
      </c>
      <c r="E17" s="8" t="s">
        <v>59</v>
      </c>
      <c r="F17" s="8" t="s">
        <v>20</v>
      </c>
      <c r="G17" s="42" t="s">
        <v>36</v>
      </c>
      <c r="H17" s="6">
        <v>5</v>
      </c>
      <c r="I17" s="11">
        <f>detail_avancement!B17</f>
        <v>0</v>
      </c>
      <c r="J17" s="11">
        <v>4</v>
      </c>
      <c r="K17" s="10">
        <f t="shared" si="2"/>
        <v>0</v>
      </c>
    </row>
    <row r="18" spans="1:11" ht="12.75">
      <c r="A18" s="5">
        <v>17</v>
      </c>
      <c r="B18" s="5" t="s">
        <v>16</v>
      </c>
      <c r="C18" s="8" t="s">
        <v>50</v>
      </c>
      <c r="D18" s="42" t="s">
        <v>51</v>
      </c>
      <c r="E18" s="8" t="s">
        <v>60</v>
      </c>
      <c r="F18" s="42" t="s">
        <v>20</v>
      </c>
      <c r="G18" s="42" t="s">
        <v>36</v>
      </c>
      <c r="H18" s="6">
        <v>5</v>
      </c>
      <c r="I18" s="11">
        <f>detail_avancement!B18</f>
        <v>0</v>
      </c>
      <c r="J18" s="11">
        <f t="shared" ref="J18" si="6">H18-I18</f>
        <v>5</v>
      </c>
      <c r="K18" s="10">
        <f t="shared" si="2"/>
        <v>0</v>
      </c>
    </row>
    <row r="19" spans="1:11" ht="12.75">
      <c r="A19" s="5">
        <v>18</v>
      </c>
      <c r="B19" s="5" t="s">
        <v>16</v>
      </c>
      <c r="C19" s="8" t="s">
        <v>50</v>
      </c>
      <c r="D19" s="42" t="s">
        <v>51</v>
      </c>
      <c r="E19" s="8" t="s">
        <v>61</v>
      </c>
      <c r="F19" s="8" t="s">
        <v>20</v>
      </c>
      <c r="G19" s="42" t="s">
        <v>36</v>
      </c>
      <c r="H19" s="6">
        <v>5</v>
      </c>
      <c r="I19" s="11">
        <f>detail_avancement!B19</f>
        <v>0</v>
      </c>
      <c r="J19" s="11">
        <v>5</v>
      </c>
      <c r="K19" s="10">
        <f t="shared" si="2"/>
        <v>0</v>
      </c>
    </row>
    <row r="20" spans="1:11" ht="12.75">
      <c r="A20" s="5">
        <v>19</v>
      </c>
      <c r="B20" s="5" t="s">
        <v>16</v>
      </c>
      <c r="C20" s="8" t="s">
        <v>50</v>
      </c>
      <c r="D20" s="42" t="s">
        <v>51</v>
      </c>
      <c r="E20" s="8" t="s">
        <v>62</v>
      </c>
      <c r="F20" s="42" t="s">
        <v>20</v>
      </c>
      <c r="G20" s="42" t="s">
        <v>36</v>
      </c>
      <c r="H20" s="6">
        <v>5</v>
      </c>
      <c r="I20" s="11">
        <f>detail_avancement!B20</f>
        <v>0</v>
      </c>
      <c r="J20" s="11">
        <f t="shared" ref="J20" si="7">H20-I20</f>
        <v>5</v>
      </c>
      <c r="K20" s="10">
        <f t="shared" si="2"/>
        <v>0</v>
      </c>
    </row>
    <row r="21" spans="1:11" ht="15.75" customHeight="1">
      <c r="A21" s="5">
        <v>20</v>
      </c>
      <c r="B21" s="5" t="s">
        <v>16</v>
      </c>
      <c r="C21" s="8" t="s">
        <v>50</v>
      </c>
      <c r="D21" s="42" t="s">
        <v>51</v>
      </c>
      <c r="E21" s="8" t="s">
        <v>63</v>
      </c>
      <c r="F21" s="8" t="s">
        <v>18</v>
      </c>
      <c r="G21" s="42" t="s">
        <v>36</v>
      </c>
      <c r="H21" s="6">
        <v>5</v>
      </c>
      <c r="I21" s="11">
        <f>detail_avancement!B21</f>
        <v>0</v>
      </c>
      <c r="J21" s="11">
        <v>6</v>
      </c>
      <c r="K21" s="10">
        <f t="shared" si="2"/>
        <v>0</v>
      </c>
    </row>
    <row r="22" spans="1:11" ht="15.75" customHeight="1">
      <c r="A22" s="5">
        <v>21</v>
      </c>
      <c r="B22" s="5" t="s">
        <v>16</v>
      </c>
      <c r="C22" s="8" t="s">
        <v>50</v>
      </c>
      <c r="D22" s="42" t="s">
        <v>51</v>
      </c>
      <c r="E22" s="8" t="s">
        <v>64</v>
      </c>
      <c r="F22" s="42" t="s">
        <v>49</v>
      </c>
      <c r="G22" s="42" t="s">
        <v>36</v>
      </c>
      <c r="H22" s="6">
        <v>5</v>
      </c>
      <c r="I22" s="11">
        <f>detail_avancement!B22</f>
        <v>0</v>
      </c>
      <c r="J22" s="11">
        <f t="shared" ref="J22" si="8">H22-I22</f>
        <v>5</v>
      </c>
      <c r="K22" s="10">
        <f t="shared" si="2"/>
        <v>0</v>
      </c>
    </row>
    <row r="23" spans="1:11" ht="15.75" customHeight="1">
      <c r="A23" s="5">
        <v>22</v>
      </c>
      <c r="B23" s="5" t="s">
        <v>16</v>
      </c>
      <c r="C23" s="8" t="s">
        <v>67</v>
      </c>
      <c r="D23" s="42" t="s">
        <v>66</v>
      </c>
      <c r="E23" s="8" t="s">
        <v>65</v>
      </c>
      <c r="F23" s="8" t="s">
        <v>20</v>
      </c>
      <c r="G23" s="42" t="s">
        <v>36</v>
      </c>
      <c r="H23" s="6">
        <v>5</v>
      </c>
      <c r="I23" s="11">
        <f>detail_avancement!B23</f>
        <v>0</v>
      </c>
      <c r="J23" s="11">
        <v>7</v>
      </c>
      <c r="K23" s="10">
        <f t="shared" si="2"/>
        <v>0</v>
      </c>
    </row>
    <row r="24" spans="1:11" ht="15.75" customHeight="1">
      <c r="A24" s="5">
        <v>23</v>
      </c>
      <c r="B24" s="5" t="s">
        <v>16</v>
      </c>
      <c r="C24" s="8" t="s">
        <v>67</v>
      </c>
      <c r="D24" s="42" t="s">
        <v>66</v>
      </c>
      <c r="E24" s="8" t="s">
        <v>68</v>
      </c>
      <c r="F24" s="42" t="s">
        <v>19</v>
      </c>
      <c r="G24" s="42" t="s">
        <v>36</v>
      </c>
      <c r="H24" s="6">
        <v>5</v>
      </c>
      <c r="I24" s="11">
        <f>detail_avancement!B24</f>
        <v>0</v>
      </c>
      <c r="J24" s="11">
        <f t="shared" ref="J24" si="9">H24-I24</f>
        <v>5</v>
      </c>
      <c r="K24" s="10">
        <f t="shared" si="2"/>
        <v>0</v>
      </c>
    </row>
    <row r="25" spans="1:11" ht="15.75" customHeight="1">
      <c r="A25" s="5">
        <v>24</v>
      </c>
      <c r="B25" s="5" t="s">
        <v>16</v>
      </c>
      <c r="C25" s="8" t="s">
        <v>67</v>
      </c>
      <c r="D25" s="42" t="s">
        <v>66</v>
      </c>
      <c r="E25" s="8" t="s">
        <v>69</v>
      </c>
      <c r="F25" s="8" t="s">
        <v>19</v>
      </c>
      <c r="G25" s="42" t="s">
        <v>36</v>
      </c>
      <c r="H25" s="6">
        <v>5</v>
      </c>
      <c r="I25" s="11">
        <f>detail_avancement!B25</f>
        <v>0</v>
      </c>
      <c r="J25" s="11">
        <v>8</v>
      </c>
      <c r="K25" s="10">
        <f t="shared" si="2"/>
        <v>0</v>
      </c>
    </row>
    <row r="26" spans="1:11" ht="15.75" customHeight="1">
      <c r="A26" s="5">
        <v>25</v>
      </c>
      <c r="B26" s="5" t="s">
        <v>16</v>
      </c>
      <c r="C26" s="8" t="s">
        <v>67</v>
      </c>
      <c r="D26" s="42" t="s">
        <v>66</v>
      </c>
      <c r="E26" s="8" t="s">
        <v>70</v>
      </c>
      <c r="F26" s="42" t="s">
        <v>18</v>
      </c>
      <c r="G26" s="42" t="s">
        <v>36</v>
      </c>
      <c r="H26" s="6">
        <v>5</v>
      </c>
      <c r="I26" s="11">
        <f>detail_avancement!B26</f>
        <v>0</v>
      </c>
      <c r="J26" s="11">
        <f t="shared" ref="J26" si="10">H26-I26</f>
        <v>5</v>
      </c>
      <c r="K26" s="10">
        <f t="shared" si="2"/>
        <v>0</v>
      </c>
    </row>
    <row r="27" spans="1:11" ht="15.75" customHeight="1">
      <c r="A27" s="5">
        <v>26</v>
      </c>
      <c r="B27" s="5" t="s">
        <v>16</v>
      </c>
      <c r="C27" s="8" t="s">
        <v>71</v>
      </c>
      <c r="D27" s="42" t="s">
        <v>72</v>
      </c>
      <c r="E27" s="8" t="s">
        <v>73</v>
      </c>
      <c r="F27" s="8" t="s">
        <v>18</v>
      </c>
      <c r="G27" s="42" t="s">
        <v>36</v>
      </c>
      <c r="H27" s="6">
        <v>5</v>
      </c>
      <c r="I27" s="11">
        <f>detail_avancement!B27</f>
        <v>0</v>
      </c>
      <c r="J27" s="11">
        <v>9</v>
      </c>
      <c r="K27" s="10">
        <f t="shared" si="2"/>
        <v>0</v>
      </c>
    </row>
    <row r="28" spans="1:11" ht="15.75" customHeight="1">
      <c r="A28" s="5">
        <v>27</v>
      </c>
      <c r="B28" s="5" t="s">
        <v>16</v>
      </c>
      <c r="C28" s="8" t="s">
        <v>71</v>
      </c>
      <c r="D28" s="42" t="s">
        <v>72</v>
      </c>
      <c r="E28" s="8" t="s">
        <v>74</v>
      </c>
      <c r="F28" s="42" t="s">
        <v>20</v>
      </c>
      <c r="G28" s="42" t="s">
        <v>36</v>
      </c>
      <c r="H28" s="6">
        <v>5</v>
      </c>
      <c r="I28" s="11">
        <f>detail_avancement!B28</f>
        <v>0</v>
      </c>
      <c r="J28" s="11">
        <f t="shared" ref="J28" si="11">H28-I28</f>
        <v>5</v>
      </c>
      <c r="K28" s="10">
        <f t="shared" si="2"/>
        <v>0</v>
      </c>
    </row>
    <row r="29" spans="1:11" ht="15.75" customHeight="1">
      <c r="A29" s="5">
        <v>28</v>
      </c>
      <c r="B29" s="5" t="s">
        <v>16</v>
      </c>
      <c r="C29" s="8" t="s">
        <v>71</v>
      </c>
      <c r="D29" s="42" t="s">
        <v>72</v>
      </c>
      <c r="E29" s="8" t="s">
        <v>75</v>
      </c>
      <c r="F29" s="8" t="s">
        <v>20</v>
      </c>
      <c r="G29" s="42" t="s">
        <v>36</v>
      </c>
      <c r="H29" s="6">
        <v>5</v>
      </c>
      <c r="I29" s="11">
        <f>detail_avancement!B29</f>
        <v>0</v>
      </c>
      <c r="J29" s="11">
        <v>10</v>
      </c>
      <c r="K29" s="10">
        <f t="shared" si="2"/>
        <v>0</v>
      </c>
    </row>
    <row r="30" spans="1:11" ht="15.75" customHeight="1">
      <c r="A30" s="5">
        <v>29</v>
      </c>
      <c r="B30" s="5" t="s">
        <v>16</v>
      </c>
      <c r="C30" s="8" t="s">
        <v>71</v>
      </c>
      <c r="D30" s="42" t="s">
        <v>72</v>
      </c>
      <c r="E30" s="8" t="s">
        <v>76</v>
      </c>
      <c r="F30" s="42" t="s">
        <v>49</v>
      </c>
      <c r="G30" s="42" t="s">
        <v>36</v>
      </c>
      <c r="H30" s="6">
        <v>5</v>
      </c>
      <c r="I30" s="11">
        <f>detail_avancement!B30</f>
        <v>0</v>
      </c>
      <c r="J30" s="11">
        <f t="shared" ref="J30" si="12">H30-I30</f>
        <v>5</v>
      </c>
      <c r="K30" s="10">
        <f t="shared" si="2"/>
        <v>0</v>
      </c>
    </row>
    <row r="31" spans="1:11" ht="15.75" customHeight="1">
      <c r="A31" s="5">
        <v>30</v>
      </c>
      <c r="B31" s="5" t="s">
        <v>16</v>
      </c>
      <c r="C31" s="8" t="s">
        <v>77</v>
      </c>
      <c r="D31" s="42" t="s">
        <v>78</v>
      </c>
      <c r="E31" s="8" t="s">
        <v>79</v>
      </c>
      <c r="F31" s="8" t="s">
        <v>22</v>
      </c>
      <c r="G31" s="42" t="s">
        <v>36</v>
      </c>
      <c r="H31" s="6">
        <v>5</v>
      </c>
      <c r="I31" s="11">
        <f>detail_avancement!B31</f>
        <v>0</v>
      </c>
      <c r="J31" s="11">
        <v>11</v>
      </c>
      <c r="K31" s="10">
        <f t="shared" si="2"/>
        <v>0</v>
      </c>
    </row>
    <row r="32" spans="1:11" ht="15.75" customHeight="1">
      <c r="A32" s="5">
        <v>31</v>
      </c>
      <c r="B32" s="5" t="s">
        <v>16</v>
      </c>
      <c r="C32" s="8" t="s">
        <v>77</v>
      </c>
      <c r="D32" s="42" t="s">
        <v>78</v>
      </c>
      <c r="E32" s="8" t="s">
        <v>80</v>
      </c>
      <c r="F32" s="42" t="s">
        <v>22</v>
      </c>
      <c r="G32" s="42" t="s">
        <v>36</v>
      </c>
      <c r="H32" s="6">
        <v>5</v>
      </c>
      <c r="I32" s="11">
        <f>detail_avancement!B32</f>
        <v>0</v>
      </c>
      <c r="J32" s="11">
        <f t="shared" ref="J32" si="13">H32-I32</f>
        <v>5</v>
      </c>
      <c r="K32" s="10">
        <f t="shared" si="2"/>
        <v>0</v>
      </c>
    </row>
    <row r="33" spans="1:11" ht="15.75" customHeight="1">
      <c r="A33" s="5">
        <v>32</v>
      </c>
      <c r="B33" s="5" t="s">
        <v>16</v>
      </c>
      <c r="C33" s="8" t="s">
        <v>77</v>
      </c>
      <c r="D33" s="42" t="s">
        <v>78</v>
      </c>
      <c r="E33" s="8" t="s">
        <v>81</v>
      </c>
      <c r="F33" s="8" t="s">
        <v>19</v>
      </c>
      <c r="G33" s="42" t="s">
        <v>36</v>
      </c>
      <c r="H33" s="6">
        <v>5</v>
      </c>
      <c r="I33" s="11">
        <f>detail_avancement!B33</f>
        <v>0</v>
      </c>
      <c r="J33" s="11">
        <v>12</v>
      </c>
      <c r="K33" s="10">
        <f t="shared" si="2"/>
        <v>0</v>
      </c>
    </row>
    <row r="34" spans="1:11" ht="15.75" customHeight="1">
      <c r="A34" s="5">
        <v>33</v>
      </c>
      <c r="B34" s="5" t="s">
        <v>16</v>
      </c>
      <c r="C34" s="8" t="s">
        <v>77</v>
      </c>
      <c r="D34" s="42" t="s">
        <v>78</v>
      </c>
      <c r="E34" s="8" t="s">
        <v>82</v>
      </c>
      <c r="F34" s="42" t="s">
        <v>20</v>
      </c>
      <c r="G34" s="42" t="s">
        <v>36</v>
      </c>
      <c r="H34" s="6">
        <v>5</v>
      </c>
      <c r="I34" s="11">
        <f>detail_avancement!B34</f>
        <v>0</v>
      </c>
      <c r="J34" s="11">
        <f t="shared" ref="J34" si="14">H34-I34</f>
        <v>5</v>
      </c>
      <c r="K34" s="10">
        <f t="shared" si="2"/>
        <v>0</v>
      </c>
    </row>
    <row r="35" spans="1:11" ht="15.75" customHeight="1">
      <c r="A35" s="5">
        <v>34</v>
      </c>
      <c r="B35" s="5" t="s">
        <v>16</v>
      </c>
      <c r="C35" s="8" t="s">
        <v>77</v>
      </c>
      <c r="D35" s="42" t="s">
        <v>78</v>
      </c>
      <c r="E35" s="8" t="s">
        <v>83</v>
      </c>
      <c r="F35" s="8" t="s">
        <v>20</v>
      </c>
      <c r="G35" s="42" t="s">
        <v>36</v>
      </c>
      <c r="H35" s="6">
        <v>5</v>
      </c>
      <c r="I35" s="11">
        <f>detail_avancement!B35</f>
        <v>0</v>
      </c>
      <c r="J35" s="11">
        <v>13</v>
      </c>
      <c r="K35" s="10">
        <f t="shared" si="2"/>
        <v>0</v>
      </c>
    </row>
    <row r="36" spans="1:11" ht="15.75" customHeight="1">
      <c r="A36" s="5">
        <v>35</v>
      </c>
      <c r="B36" s="5" t="s">
        <v>16</v>
      </c>
      <c r="C36" s="8" t="s">
        <v>77</v>
      </c>
      <c r="D36" s="42" t="s">
        <v>78</v>
      </c>
      <c r="E36" s="8" t="s">
        <v>84</v>
      </c>
      <c r="F36" s="42" t="s">
        <v>18</v>
      </c>
      <c r="G36" s="42" t="s">
        <v>36</v>
      </c>
      <c r="H36" s="6">
        <v>5</v>
      </c>
      <c r="I36" s="11">
        <f>detail_avancement!B36</f>
        <v>0</v>
      </c>
      <c r="J36" s="11">
        <f t="shared" ref="J36" si="15">H36-I36</f>
        <v>5</v>
      </c>
      <c r="K36" s="10">
        <f t="shared" si="2"/>
        <v>0</v>
      </c>
    </row>
    <row r="37" spans="1:11" ht="15.75" customHeight="1">
      <c r="A37" s="5">
        <v>36</v>
      </c>
      <c r="B37" s="5" t="s">
        <v>16</v>
      </c>
      <c r="C37" s="8" t="s">
        <v>77</v>
      </c>
      <c r="D37" s="42" t="s">
        <v>78</v>
      </c>
      <c r="E37" s="8" t="s">
        <v>85</v>
      </c>
      <c r="F37" s="8" t="s">
        <v>19</v>
      </c>
      <c r="G37" s="42" t="s">
        <v>36</v>
      </c>
      <c r="H37" s="6">
        <v>5</v>
      </c>
      <c r="I37" s="11">
        <f>detail_avancement!B37</f>
        <v>0</v>
      </c>
      <c r="J37" s="11">
        <v>14</v>
      </c>
      <c r="K37" s="10">
        <f t="shared" si="2"/>
        <v>0</v>
      </c>
    </row>
    <row r="38" spans="1:11" ht="15.75" customHeight="1">
      <c r="A38" s="5">
        <v>37</v>
      </c>
      <c r="B38" s="5" t="s">
        <v>16</v>
      </c>
      <c r="C38" s="8" t="s">
        <v>77</v>
      </c>
      <c r="D38" s="42" t="s">
        <v>78</v>
      </c>
      <c r="E38" s="8" t="s">
        <v>86</v>
      </c>
      <c r="F38" s="42" t="s">
        <v>49</v>
      </c>
      <c r="G38" s="42" t="s">
        <v>36</v>
      </c>
      <c r="H38" s="6">
        <v>5</v>
      </c>
      <c r="I38" s="11">
        <f>detail_avancement!B38</f>
        <v>0</v>
      </c>
      <c r="J38" s="11">
        <f t="shared" ref="J38" si="16">H38-I38</f>
        <v>5</v>
      </c>
      <c r="K38" s="10">
        <f t="shared" si="2"/>
        <v>0</v>
      </c>
    </row>
    <row r="39" spans="1:11" ht="15.75" customHeight="1">
      <c r="A39" s="5">
        <v>38</v>
      </c>
      <c r="B39" s="5" t="s">
        <v>87</v>
      </c>
      <c r="C39" s="8" t="s">
        <v>88</v>
      </c>
      <c r="D39" s="42" t="s">
        <v>89</v>
      </c>
      <c r="E39" s="8" t="s">
        <v>90</v>
      </c>
      <c r="F39" s="8" t="s">
        <v>18</v>
      </c>
      <c r="G39" s="42" t="s">
        <v>36</v>
      </c>
      <c r="H39" s="6">
        <v>5</v>
      </c>
      <c r="I39" s="11">
        <f>detail_avancement!B39</f>
        <v>0</v>
      </c>
      <c r="J39" s="11">
        <v>15</v>
      </c>
      <c r="K39" s="10">
        <f t="shared" si="2"/>
        <v>0</v>
      </c>
    </row>
    <row r="40" spans="1:11" ht="15.75" customHeight="1">
      <c r="A40" s="5">
        <v>39</v>
      </c>
      <c r="B40" s="5" t="s">
        <v>87</v>
      </c>
      <c r="C40" s="8" t="s">
        <v>88</v>
      </c>
      <c r="D40" s="42" t="s">
        <v>89</v>
      </c>
      <c r="E40" s="8" t="s">
        <v>91</v>
      </c>
      <c r="F40" s="42" t="s">
        <v>20</v>
      </c>
      <c r="G40" s="42" t="s">
        <v>36</v>
      </c>
      <c r="H40" s="6">
        <v>5</v>
      </c>
      <c r="I40" s="11">
        <f>detail_avancement!B40</f>
        <v>0</v>
      </c>
      <c r="J40" s="11">
        <f t="shared" ref="J40" si="17">H40-I40</f>
        <v>5</v>
      </c>
      <c r="K40" s="10">
        <f t="shared" si="2"/>
        <v>0</v>
      </c>
    </row>
    <row r="41" spans="1:11" ht="15.75" customHeight="1">
      <c r="A41" s="5">
        <v>40</v>
      </c>
      <c r="B41" s="5" t="s">
        <v>87</v>
      </c>
      <c r="C41" s="8" t="s">
        <v>88</v>
      </c>
      <c r="D41" s="42" t="s">
        <v>93</v>
      </c>
      <c r="E41" s="8" t="s">
        <v>92</v>
      </c>
      <c r="F41" s="8" t="s">
        <v>20</v>
      </c>
      <c r="G41" s="42" t="s">
        <v>36</v>
      </c>
      <c r="H41" s="6">
        <v>5</v>
      </c>
      <c r="I41" s="11">
        <f>detail_avancement!B41</f>
        <v>0</v>
      </c>
      <c r="J41" s="11">
        <v>16</v>
      </c>
      <c r="K41" s="10">
        <f t="shared" si="2"/>
        <v>0</v>
      </c>
    </row>
    <row r="42" spans="1:11" ht="15.75" customHeight="1">
      <c r="A42" s="5">
        <v>41</v>
      </c>
      <c r="B42" s="5" t="s">
        <v>87</v>
      </c>
      <c r="C42" s="8" t="s">
        <v>88</v>
      </c>
      <c r="D42" s="42" t="s">
        <v>93</v>
      </c>
      <c r="E42" s="8" t="s">
        <v>94</v>
      </c>
      <c r="F42" s="42" t="s">
        <v>18</v>
      </c>
      <c r="G42" s="42" t="s">
        <v>36</v>
      </c>
      <c r="H42" s="6">
        <v>5</v>
      </c>
      <c r="I42" s="11">
        <f>detail_avancement!B42</f>
        <v>0</v>
      </c>
      <c r="J42" s="11">
        <f t="shared" ref="J42" si="18">H42-I42</f>
        <v>5</v>
      </c>
      <c r="K42" s="10">
        <f t="shared" si="2"/>
        <v>0</v>
      </c>
    </row>
    <row r="43" spans="1:11" ht="15.75" customHeight="1">
      <c r="A43" s="5">
        <v>42</v>
      </c>
      <c r="B43" s="5" t="s">
        <v>87</v>
      </c>
      <c r="C43" s="8" t="s">
        <v>88</v>
      </c>
      <c r="D43" s="42" t="s">
        <v>93</v>
      </c>
      <c r="E43" s="8" t="s">
        <v>95</v>
      </c>
      <c r="F43" s="8" t="s">
        <v>19</v>
      </c>
      <c r="G43" s="42" t="s">
        <v>36</v>
      </c>
      <c r="H43" s="6">
        <v>5</v>
      </c>
      <c r="I43" s="11">
        <f>detail_avancement!B43</f>
        <v>0</v>
      </c>
      <c r="J43" s="11">
        <v>17</v>
      </c>
      <c r="K43" s="10">
        <f t="shared" si="2"/>
        <v>0</v>
      </c>
    </row>
    <row r="44" spans="1:11" ht="15.75" customHeight="1">
      <c r="A44" s="5">
        <v>43</v>
      </c>
      <c r="B44" s="5" t="s">
        <v>87</v>
      </c>
      <c r="C44" s="8" t="s">
        <v>88</v>
      </c>
      <c r="D44" s="42" t="s">
        <v>93</v>
      </c>
      <c r="E44" s="8" t="s">
        <v>96</v>
      </c>
      <c r="F44" s="42" t="s">
        <v>18</v>
      </c>
      <c r="G44" s="42" t="s">
        <v>36</v>
      </c>
      <c r="H44" s="6">
        <v>5</v>
      </c>
      <c r="I44" s="11">
        <f>detail_avancement!B44</f>
        <v>0</v>
      </c>
      <c r="J44" s="11">
        <f t="shared" ref="J44" si="19">H44-I44</f>
        <v>5</v>
      </c>
      <c r="K44" s="10">
        <f t="shared" si="2"/>
        <v>0</v>
      </c>
    </row>
    <row r="45" spans="1:11" ht="15.75" customHeight="1">
      <c r="A45" s="5">
        <v>44</v>
      </c>
      <c r="B45" s="5" t="s">
        <v>87</v>
      </c>
      <c r="C45" s="8" t="s">
        <v>88</v>
      </c>
      <c r="D45" s="42" t="s">
        <v>93</v>
      </c>
      <c r="E45" s="8" t="s">
        <v>97</v>
      </c>
      <c r="F45" s="8" t="s">
        <v>49</v>
      </c>
      <c r="G45" s="42" t="s">
        <v>36</v>
      </c>
      <c r="H45" s="6">
        <v>5</v>
      </c>
      <c r="I45" s="11">
        <f>detail_avancement!B45</f>
        <v>0</v>
      </c>
      <c r="J45" s="11">
        <v>18</v>
      </c>
      <c r="K45" s="10">
        <f t="shared" si="2"/>
        <v>0</v>
      </c>
    </row>
    <row r="46" spans="1:11" ht="15.75" customHeight="1">
      <c r="A46" s="5">
        <v>45</v>
      </c>
      <c r="B46" s="5" t="s">
        <v>87</v>
      </c>
      <c r="C46" s="8" t="s">
        <v>88</v>
      </c>
      <c r="D46" s="42" t="s">
        <v>98</v>
      </c>
      <c r="E46" s="8" t="s">
        <v>58</v>
      </c>
      <c r="F46" s="42" t="s">
        <v>18</v>
      </c>
      <c r="G46" s="42" t="s">
        <v>36</v>
      </c>
      <c r="H46" s="6">
        <v>5</v>
      </c>
      <c r="I46" s="11">
        <f>detail_avancement!B46</f>
        <v>0</v>
      </c>
      <c r="J46" s="11">
        <f t="shared" ref="J46" si="20">H46-I46</f>
        <v>5</v>
      </c>
      <c r="K46" s="10">
        <f t="shared" si="2"/>
        <v>0</v>
      </c>
    </row>
    <row r="47" spans="1:11" ht="15.75" customHeight="1">
      <c r="A47" s="5">
        <v>46</v>
      </c>
      <c r="B47" s="5" t="s">
        <v>87</v>
      </c>
      <c r="C47" s="8" t="s">
        <v>88</v>
      </c>
      <c r="D47" s="42" t="s">
        <v>98</v>
      </c>
      <c r="E47" s="8" t="s">
        <v>99</v>
      </c>
      <c r="F47" s="8" t="s">
        <v>18</v>
      </c>
      <c r="G47" s="42" t="s">
        <v>36</v>
      </c>
      <c r="H47" s="6">
        <v>5</v>
      </c>
      <c r="I47" s="11">
        <f>detail_avancement!B47</f>
        <v>0</v>
      </c>
      <c r="J47" s="11">
        <v>19</v>
      </c>
      <c r="K47" s="10">
        <f t="shared" si="2"/>
        <v>0</v>
      </c>
    </row>
    <row r="48" spans="1:11" ht="15.75" customHeight="1">
      <c r="A48" s="5">
        <v>47</v>
      </c>
      <c r="B48" s="5" t="s">
        <v>87</v>
      </c>
      <c r="C48" s="8" t="s">
        <v>88</v>
      </c>
      <c r="D48" s="42" t="s">
        <v>98</v>
      </c>
      <c r="E48" s="8" t="s">
        <v>100</v>
      </c>
      <c r="F48" s="42" t="s">
        <v>19</v>
      </c>
      <c r="G48" s="42" t="s">
        <v>36</v>
      </c>
      <c r="H48" s="6">
        <v>5</v>
      </c>
      <c r="I48" s="11">
        <f>detail_avancement!B48</f>
        <v>0</v>
      </c>
      <c r="J48" s="11">
        <f t="shared" ref="J48" si="21">H48-I48</f>
        <v>5</v>
      </c>
      <c r="K48" s="10">
        <f t="shared" si="2"/>
        <v>0</v>
      </c>
    </row>
    <row r="49" spans="1:11" ht="15.75" customHeight="1">
      <c r="A49" s="5">
        <v>48</v>
      </c>
      <c r="B49" s="5" t="s">
        <v>87</v>
      </c>
      <c r="C49" s="8" t="s">
        <v>88</v>
      </c>
      <c r="D49" s="42" t="s">
        <v>98</v>
      </c>
      <c r="E49" s="8" t="s">
        <v>61</v>
      </c>
      <c r="F49" s="8" t="s">
        <v>20</v>
      </c>
      <c r="G49" s="42" t="s">
        <v>36</v>
      </c>
      <c r="H49" s="6">
        <v>5</v>
      </c>
      <c r="I49" s="11">
        <f>detail_avancement!B49</f>
        <v>0</v>
      </c>
      <c r="J49" s="11">
        <v>20</v>
      </c>
      <c r="K49" s="10">
        <f t="shared" ref="K49:K60" si="22">(I49/(I49+J49))</f>
        <v>0</v>
      </c>
    </row>
    <row r="50" spans="1:11" ht="15.75" customHeight="1">
      <c r="A50" s="5">
        <v>49</v>
      </c>
      <c r="B50" s="5" t="s">
        <v>87</v>
      </c>
      <c r="C50" s="8" t="s">
        <v>88</v>
      </c>
      <c r="D50" s="42" t="s">
        <v>98</v>
      </c>
      <c r="E50" s="8" t="s">
        <v>62</v>
      </c>
      <c r="F50" s="42" t="s">
        <v>20</v>
      </c>
      <c r="G50" s="42" t="s">
        <v>36</v>
      </c>
      <c r="H50" s="6">
        <v>5</v>
      </c>
      <c r="I50" s="11">
        <f>detail_avancement!B50</f>
        <v>0</v>
      </c>
      <c r="J50" s="11">
        <f t="shared" ref="J50" si="23">H50-I50</f>
        <v>5</v>
      </c>
      <c r="K50" s="10">
        <f t="shared" si="22"/>
        <v>0</v>
      </c>
    </row>
    <row r="51" spans="1:11" ht="15.75" customHeight="1">
      <c r="A51" s="5">
        <v>50</v>
      </c>
      <c r="B51" s="5" t="s">
        <v>87</v>
      </c>
      <c r="C51" s="8" t="s">
        <v>88</v>
      </c>
      <c r="D51" s="42" t="s">
        <v>98</v>
      </c>
      <c r="E51" s="8" t="s">
        <v>101</v>
      </c>
      <c r="F51" s="8" t="s">
        <v>19</v>
      </c>
      <c r="G51" s="42" t="s">
        <v>36</v>
      </c>
      <c r="H51" s="6">
        <v>5</v>
      </c>
      <c r="I51" s="11">
        <f>detail_avancement!B51</f>
        <v>0</v>
      </c>
      <c r="J51" s="11">
        <v>21</v>
      </c>
      <c r="K51" s="10">
        <f t="shared" si="22"/>
        <v>0</v>
      </c>
    </row>
    <row r="52" spans="1:11" ht="15.75" customHeight="1">
      <c r="A52" s="5">
        <v>51</v>
      </c>
      <c r="B52" s="5" t="s">
        <v>87</v>
      </c>
      <c r="C52" s="8" t="s">
        <v>88</v>
      </c>
      <c r="D52" s="42" t="s">
        <v>98</v>
      </c>
      <c r="E52" s="8" t="s">
        <v>102</v>
      </c>
      <c r="F52" s="42" t="s">
        <v>49</v>
      </c>
      <c r="G52" s="42" t="s">
        <v>36</v>
      </c>
      <c r="H52" s="6">
        <v>5</v>
      </c>
      <c r="I52" s="11">
        <f>detail_avancement!B52</f>
        <v>0</v>
      </c>
      <c r="J52" s="11">
        <f t="shared" ref="J52" si="24">H52-I52</f>
        <v>5</v>
      </c>
      <c r="K52" s="10">
        <f t="shared" si="22"/>
        <v>0</v>
      </c>
    </row>
    <row r="53" spans="1:11" ht="15.75" customHeight="1">
      <c r="A53" s="5">
        <v>52</v>
      </c>
      <c r="B53" s="5" t="s">
        <v>87</v>
      </c>
      <c r="C53" s="8" t="s">
        <v>88</v>
      </c>
      <c r="D53" s="42" t="s">
        <v>103</v>
      </c>
      <c r="E53" s="8" t="s">
        <v>104</v>
      </c>
      <c r="F53" s="8" t="s">
        <v>18</v>
      </c>
      <c r="G53" s="42" t="s">
        <v>36</v>
      </c>
      <c r="H53" s="6">
        <v>5</v>
      </c>
      <c r="I53" s="11">
        <f>detail_avancement!B53</f>
        <v>0</v>
      </c>
      <c r="J53" s="11">
        <v>22</v>
      </c>
      <c r="K53" s="10">
        <f t="shared" si="22"/>
        <v>0</v>
      </c>
    </row>
    <row r="54" spans="1:11" ht="15.75" customHeight="1">
      <c r="A54" s="5">
        <v>53</v>
      </c>
      <c r="B54" s="5" t="s">
        <v>87</v>
      </c>
      <c r="C54" s="8" t="s">
        <v>88</v>
      </c>
      <c r="D54" s="42" t="s">
        <v>103</v>
      </c>
      <c r="E54" s="8" t="s">
        <v>105</v>
      </c>
      <c r="F54" s="42" t="s">
        <v>18</v>
      </c>
      <c r="G54" s="42" t="s">
        <v>36</v>
      </c>
      <c r="H54" s="6">
        <v>5</v>
      </c>
      <c r="I54" s="11">
        <f>detail_avancement!B54</f>
        <v>0</v>
      </c>
      <c r="J54" s="11">
        <f t="shared" ref="J54" si="25">H54-I54</f>
        <v>5</v>
      </c>
      <c r="K54" s="10">
        <f t="shared" si="22"/>
        <v>0</v>
      </c>
    </row>
    <row r="55" spans="1:11" ht="15.75" customHeight="1">
      <c r="A55" s="5">
        <v>54</v>
      </c>
      <c r="B55" s="5" t="s">
        <v>87</v>
      </c>
      <c r="C55" s="8" t="s">
        <v>88</v>
      </c>
      <c r="D55" s="42" t="s">
        <v>103</v>
      </c>
      <c r="E55" s="8" t="s">
        <v>106</v>
      </c>
      <c r="F55" s="8" t="s">
        <v>18</v>
      </c>
      <c r="G55" s="42" t="s">
        <v>36</v>
      </c>
      <c r="H55" s="6">
        <v>5</v>
      </c>
      <c r="I55" s="11">
        <f>detail_avancement!B55</f>
        <v>0</v>
      </c>
      <c r="J55" s="11">
        <v>23</v>
      </c>
      <c r="K55" s="10">
        <f t="shared" si="22"/>
        <v>0</v>
      </c>
    </row>
    <row r="56" spans="1:11" ht="15.75" customHeight="1">
      <c r="A56" s="5">
        <v>55</v>
      </c>
      <c r="B56" s="5" t="s">
        <v>87</v>
      </c>
      <c r="C56" s="8" t="s">
        <v>88</v>
      </c>
      <c r="D56" s="42" t="s">
        <v>103</v>
      </c>
      <c r="E56" s="8" t="s">
        <v>107</v>
      </c>
      <c r="F56" s="42" t="s">
        <v>20</v>
      </c>
      <c r="G56" s="42" t="s">
        <v>36</v>
      </c>
      <c r="H56" s="6">
        <v>5</v>
      </c>
      <c r="I56" s="11">
        <f>detail_avancement!B56</f>
        <v>0</v>
      </c>
      <c r="J56" s="11">
        <f t="shared" ref="J56" si="26">H56-I56</f>
        <v>5</v>
      </c>
      <c r="K56" s="10">
        <f t="shared" si="22"/>
        <v>0</v>
      </c>
    </row>
    <row r="57" spans="1:11" ht="15.75" customHeight="1">
      <c r="A57" s="5">
        <v>56</v>
      </c>
      <c r="B57" s="5" t="s">
        <v>87</v>
      </c>
      <c r="C57" s="8" t="s">
        <v>88</v>
      </c>
      <c r="D57" s="42" t="s">
        <v>103</v>
      </c>
      <c r="E57" s="8" t="s">
        <v>108</v>
      </c>
      <c r="F57" s="8" t="s">
        <v>18</v>
      </c>
      <c r="G57" s="42" t="s">
        <v>36</v>
      </c>
      <c r="H57" s="6">
        <v>5</v>
      </c>
      <c r="I57" s="11">
        <f>detail_avancement!B57</f>
        <v>0</v>
      </c>
      <c r="J57" s="11">
        <v>24</v>
      </c>
      <c r="K57" s="10">
        <f t="shared" si="22"/>
        <v>0</v>
      </c>
    </row>
    <row r="58" spans="1:11" ht="15.75" customHeight="1">
      <c r="A58" s="5">
        <v>57</v>
      </c>
      <c r="B58" s="5" t="s">
        <v>87</v>
      </c>
      <c r="C58" s="8" t="s">
        <v>88</v>
      </c>
      <c r="D58" s="42" t="s">
        <v>103</v>
      </c>
      <c r="E58" s="8" t="s">
        <v>109</v>
      </c>
      <c r="F58" s="42" t="s">
        <v>19</v>
      </c>
      <c r="G58" s="42" t="s">
        <v>36</v>
      </c>
      <c r="H58" s="6">
        <v>5</v>
      </c>
      <c r="I58" s="11">
        <f>detail_avancement!B58</f>
        <v>0</v>
      </c>
      <c r="J58" s="11">
        <f t="shared" ref="J58" si="27">H58-I58</f>
        <v>5</v>
      </c>
      <c r="K58" s="10">
        <f t="shared" si="22"/>
        <v>0</v>
      </c>
    </row>
    <row r="59" spans="1:11" ht="15.75" customHeight="1">
      <c r="A59" s="5">
        <v>58</v>
      </c>
      <c r="B59" s="5" t="s">
        <v>87</v>
      </c>
      <c r="C59" s="8" t="s">
        <v>88</v>
      </c>
      <c r="D59" s="42" t="s">
        <v>103</v>
      </c>
      <c r="E59" s="8" t="s">
        <v>49</v>
      </c>
      <c r="F59" s="8" t="s">
        <v>49</v>
      </c>
      <c r="G59" s="42" t="s">
        <v>36</v>
      </c>
      <c r="H59" s="6">
        <v>5</v>
      </c>
      <c r="I59" s="11">
        <f>detail_avancement!B59</f>
        <v>0</v>
      </c>
      <c r="J59" s="11">
        <v>25</v>
      </c>
      <c r="K59" s="10">
        <f t="shared" si="22"/>
        <v>0</v>
      </c>
    </row>
    <row r="60" spans="1:11" ht="15.75" customHeight="1">
      <c r="A60" s="5">
        <v>59</v>
      </c>
      <c r="B60" s="5" t="s">
        <v>87</v>
      </c>
      <c r="C60" s="8" t="s">
        <v>88</v>
      </c>
      <c r="D60" s="42"/>
      <c r="E60" s="8" t="s">
        <v>110</v>
      </c>
      <c r="F60" s="42" t="s">
        <v>49</v>
      </c>
      <c r="G60" s="42" t="s">
        <v>36</v>
      </c>
      <c r="H60" s="6">
        <v>5</v>
      </c>
      <c r="I60" s="11">
        <f>detail_avancement!B60</f>
        <v>0</v>
      </c>
      <c r="J60" s="11">
        <f t="shared" ref="J60" si="28">H60-I60</f>
        <v>5</v>
      </c>
      <c r="K60" s="10">
        <f t="shared" si="22"/>
        <v>0</v>
      </c>
    </row>
    <row r="61" spans="1:11" ht="15.75" customHeight="1">
      <c r="A61" s="5"/>
      <c r="B61" s="5"/>
      <c r="C61" s="8"/>
      <c r="D61" s="42"/>
      <c r="E61" s="8"/>
      <c r="F61" s="8"/>
      <c r="G61" s="6"/>
      <c r="H61" s="6"/>
      <c r="I61" s="11"/>
      <c r="J61" s="11"/>
      <c r="K61" s="10"/>
    </row>
    <row r="62" spans="1:11" ht="15.75" customHeight="1">
      <c r="A62" s="5"/>
      <c r="B62" s="5"/>
      <c r="C62" s="8"/>
      <c r="D62" s="42"/>
      <c r="E62" s="8"/>
      <c r="F62" s="42"/>
      <c r="G62" s="6"/>
      <c r="H62" s="6"/>
      <c r="I62" s="11"/>
      <c r="J62" s="11"/>
      <c r="K62" s="10"/>
    </row>
    <row r="63" spans="1:11" ht="15.75" customHeight="1">
      <c r="A63" s="5"/>
      <c r="B63" s="5"/>
      <c r="C63" s="8"/>
      <c r="D63" s="42"/>
      <c r="E63" s="8"/>
      <c r="F63" s="8"/>
      <c r="G63" s="6"/>
      <c r="H63" s="6"/>
      <c r="I63" s="11"/>
      <c r="J63" s="11"/>
      <c r="K63" s="10"/>
    </row>
    <row r="64" spans="1:11" ht="15.75" customHeight="1">
      <c r="A64" s="5"/>
      <c r="B64" s="5"/>
      <c r="C64" s="8"/>
      <c r="D64" s="42"/>
      <c r="E64" s="8"/>
      <c r="F64" s="42"/>
      <c r="G64" s="6"/>
      <c r="H64" s="6"/>
      <c r="I64" s="11"/>
      <c r="J64" s="11"/>
      <c r="K64" s="10"/>
    </row>
    <row r="65" spans="1:11" ht="15.75" customHeight="1">
      <c r="A65" s="5"/>
      <c r="B65" s="5"/>
      <c r="C65" s="8"/>
      <c r="D65" s="42"/>
      <c r="E65" s="8"/>
      <c r="F65" s="8"/>
      <c r="G65" s="6"/>
      <c r="H65" s="6"/>
      <c r="I65" s="11"/>
      <c r="J65" s="11"/>
      <c r="K65" s="10"/>
    </row>
    <row r="66" spans="1:11" ht="15.75" customHeight="1">
      <c r="A66" s="5"/>
      <c r="B66" s="5"/>
      <c r="C66" s="8"/>
      <c r="D66" s="42"/>
      <c r="E66" s="8"/>
      <c r="F66" s="42"/>
      <c r="G66" s="6"/>
      <c r="H66" s="6"/>
      <c r="I66" s="11"/>
      <c r="J66" s="11"/>
      <c r="K66" s="10"/>
    </row>
    <row r="67" spans="1:11" ht="15.75" customHeight="1">
      <c r="A67" s="5"/>
      <c r="B67" s="5"/>
      <c r="C67" s="8"/>
      <c r="D67" s="42"/>
      <c r="E67" s="8"/>
      <c r="F67" s="8"/>
      <c r="G67" s="6"/>
      <c r="H67" s="6"/>
      <c r="I67" s="11"/>
      <c r="J67" s="11"/>
      <c r="K67" s="10"/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baseColWidth="10" defaultColWidth="12.5703125" defaultRowHeight="15.75" customHeight="1"/>
  <sheetData>
    <row r="1" spans="1:4">
      <c r="A1" s="25"/>
      <c r="B1" s="26" t="s">
        <v>31</v>
      </c>
      <c r="C1" s="27"/>
      <c r="D1" s="28"/>
    </row>
    <row r="2" spans="1:4">
      <c r="A2" s="26" t="s">
        <v>11</v>
      </c>
      <c r="B2" s="25" t="s">
        <v>32</v>
      </c>
      <c r="C2" s="29" t="s">
        <v>33</v>
      </c>
      <c r="D2" s="30" t="s">
        <v>34</v>
      </c>
    </row>
    <row r="3" spans="1:4">
      <c r="A3" s="25" t="s">
        <v>4</v>
      </c>
      <c r="B3" s="31">
        <v>35</v>
      </c>
      <c r="C3" s="32">
        <v>30</v>
      </c>
      <c r="D3" s="33">
        <v>30</v>
      </c>
    </row>
    <row r="4" spans="1:4">
      <c r="A4" s="34" t="s">
        <v>0</v>
      </c>
      <c r="B4" s="35">
        <v>50</v>
      </c>
      <c r="C4" s="36">
        <v>10</v>
      </c>
      <c r="D4" s="37">
        <v>40</v>
      </c>
    </row>
    <row r="5" spans="1:4">
      <c r="A5" s="34" t="s">
        <v>2</v>
      </c>
      <c r="B5" s="35">
        <v>40</v>
      </c>
      <c r="C5" s="36">
        <v>110</v>
      </c>
      <c r="D5" s="37">
        <v>10</v>
      </c>
    </row>
    <row r="6" spans="1:4">
      <c r="A6" s="34" t="s">
        <v>3</v>
      </c>
      <c r="B6" s="35">
        <v>60</v>
      </c>
      <c r="C6" s="36">
        <v>10</v>
      </c>
      <c r="D6" s="37">
        <v>50</v>
      </c>
    </row>
    <row r="7" spans="1:4">
      <c r="A7" s="34" t="s">
        <v>35</v>
      </c>
      <c r="B7" s="35"/>
      <c r="C7" s="36"/>
      <c r="D7" s="37"/>
    </row>
    <row r="8" spans="1:4" ht="15.75" customHeight="1">
      <c r="A8" s="38" t="s">
        <v>23</v>
      </c>
      <c r="B8" s="39">
        <v>185</v>
      </c>
      <c r="C8" s="40">
        <v>160</v>
      </c>
      <c r="D8" s="41">
        <v>130</v>
      </c>
    </row>
    <row r="12" spans="1:4">
      <c r="A12" s="12" t="s">
        <v>15</v>
      </c>
      <c r="B12" s="13">
        <f>avancement!D2</f>
        <v>0.21621621621621623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baseColWidth="10"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4" t="s">
        <v>24</v>
      </c>
      <c r="B1" s="14" t="s">
        <v>25</v>
      </c>
      <c r="C1" s="14" t="s">
        <v>26</v>
      </c>
      <c r="D1" s="14" t="s">
        <v>27</v>
      </c>
      <c r="E1" s="14" t="s">
        <v>28</v>
      </c>
    </row>
    <row r="2" spans="1:5">
      <c r="A2" s="15">
        <f>SUM('liste des taches'!H:H)</f>
        <v>435</v>
      </c>
      <c r="B2" s="15">
        <f>SUM('liste des taches'!I:I)</f>
        <v>160</v>
      </c>
      <c r="C2" s="15">
        <f>SUM('liste des taches'!J:J)</f>
        <v>580</v>
      </c>
      <c r="D2" s="16">
        <f>(B2/(B2+C2))</f>
        <v>0.21621621621621623</v>
      </c>
      <c r="E2" s="17">
        <f>((B2+C2)-A2)/A2</f>
        <v>0.70114942528735635</v>
      </c>
    </row>
    <row r="3" spans="1:5">
      <c r="A3" s="18"/>
      <c r="B3" s="18"/>
      <c r="C3" s="15">
        <f>C2/60</f>
        <v>9.6666666666666661</v>
      </c>
      <c r="D3" s="18" t="s">
        <v>29</v>
      </c>
      <c r="E3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baseColWidth="10" defaultColWidth="12.5703125" defaultRowHeight="15.75" customHeight="1"/>
  <sheetData>
    <row r="1" spans="1:5" ht="15.75" customHeight="1">
      <c r="A1" s="19" t="s">
        <v>5</v>
      </c>
      <c r="B1" s="20" t="s">
        <v>30</v>
      </c>
      <c r="C1" s="21">
        <v>46048</v>
      </c>
      <c r="D1" s="21">
        <v>46049</v>
      </c>
      <c r="E1" s="21">
        <v>46050</v>
      </c>
    </row>
    <row r="2" spans="1:5">
      <c r="A2" s="22">
        <v>1</v>
      </c>
      <c r="B2" s="15">
        <f t="shared" ref="B2:B10" si="0">SUM(D2:P2)</f>
        <v>20</v>
      </c>
      <c r="C2" s="18"/>
      <c r="D2" s="22">
        <v>20</v>
      </c>
      <c r="E2" s="18"/>
    </row>
    <row r="3" spans="1:5">
      <c r="A3" s="22">
        <v>2</v>
      </c>
      <c r="B3" s="15">
        <f t="shared" si="0"/>
        <v>0</v>
      </c>
      <c r="C3" s="18"/>
      <c r="D3" s="18"/>
      <c r="E3" s="18"/>
    </row>
    <row r="4" spans="1:5">
      <c r="A4" s="22">
        <v>3</v>
      </c>
      <c r="B4" s="15">
        <f t="shared" si="0"/>
        <v>10</v>
      </c>
      <c r="C4" s="22">
        <v>20</v>
      </c>
      <c r="D4" s="22">
        <v>10</v>
      </c>
      <c r="E4" s="18"/>
    </row>
    <row r="5" spans="1:5">
      <c r="A5" s="22">
        <v>4</v>
      </c>
      <c r="B5" s="15">
        <f t="shared" si="0"/>
        <v>0</v>
      </c>
      <c r="C5" s="18"/>
      <c r="D5" s="18"/>
      <c r="E5" s="18"/>
    </row>
    <row r="6" spans="1:5">
      <c r="A6" s="22">
        <v>5</v>
      </c>
      <c r="B6" s="15">
        <f t="shared" si="0"/>
        <v>10</v>
      </c>
      <c r="C6" s="18"/>
      <c r="D6" s="23">
        <v>10</v>
      </c>
      <c r="E6" s="18"/>
    </row>
    <row r="7" spans="1:5">
      <c r="A7" s="22">
        <v>6</v>
      </c>
      <c r="B7" s="15">
        <f t="shared" si="0"/>
        <v>0</v>
      </c>
      <c r="C7" s="18"/>
      <c r="D7" s="18"/>
      <c r="E7" s="18"/>
    </row>
    <row r="8" spans="1:5">
      <c r="A8" s="22">
        <v>7</v>
      </c>
      <c r="B8" s="15">
        <f t="shared" si="0"/>
        <v>90</v>
      </c>
      <c r="C8" s="18"/>
      <c r="D8" s="23">
        <v>90</v>
      </c>
      <c r="E8" s="18"/>
    </row>
    <row r="9" spans="1:5">
      <c r="A9" s="24">
        <v>8</v>
      </c>
      <c r="B9" s="15">
        <f t="shared" si="0"/>
        <v>30</v>
      </c>
      <c r="D9" s="24">
        <v>30</v>
      </c>
    </row>
    <row r="10" spans="1:5">
      <c r="A10" s="24">
        <v>9</v>
      </c>
      <c r="B10" s="15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Mikajy</cp:lastModifiedBy>
  <dcterms:modified xsi:type="dcterms:W3CDTF">2026-07-06T06:07:27Z</dcterms:modified>
</cp:coreProperties>
</file>